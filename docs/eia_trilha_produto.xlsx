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dyjrdev\eia_lab\docs\"/>
    </mc:Choice>
  </mc:AlternateContent>
  <xr:revisionPtr revIDLastSave="0" documentId="13_ncr:1_{27E5DEAB-0143-4D53-BAF3-C0301E3D6E6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dutos" sheetId="1" r:id="rId1"/>
    <sheet name="Carreiras" sheetId="7" r:id="rId2"/>
  </sheets>
  <definedNames>
    <definedName name="_xlnm._FilterDatabase" localSheetId="0" hidden="1">Produtos!$A$1:$O$1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W9wRt3WoCnhH/5zmbEUYsWK7OPImcIr6ovyWRZpJaYY="/>
    </ext>
  </extLst>
</workbook>
</file>

<file path=xl/calcChain.xml><?xml version="1.0" encoding="utf-8"?>
<calcChain xmlns="http://schemas.openxmlformats.org/spreadsheetml/2006/main">
  <c r="E3" i="7" l="1"/>
  <c r="E4" i="7"/>
  <c r="E5" i="7"/>
  <c r="E6" i="7"/>
  <c r="E7" i="7"/>
  <c r="E8" i="7"/>
  <c r="E9" i="7"/>
  <c r="E10" i="7"/>
  <c r="E11" i="7"/>
  <c r="E12" i="7"/>
  <c r="E13" i="7"/>
  <c r="E2" i="7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</calcChain>
</file>

<file path=xl/sharedStrings.xml><?xml version="1.0" encoding="utf-8"?>
<sst xmlns="http://schemas.openxmlformats.org/spreadsheetml/2006/main" count="204" uniqueCount="144">
  <si>
    <t>N</t>
  </si>
  <si>
    <t>Produto</t>
  </si>
  <si>
    <t>Analise Técnica e Inteligência Artificial para Investimentos</t>
  </si>
  <si>
    <t>Arquitetura de Dados para Engenharia e Ciência de Dados</t>
  </si>
  <si>
    <t>Big Data e Inteligência Artificial: Domine os Fundamentos</t>
  </si>
  <si>
    <t>Big Data: uma Visão Gerencial</t>
  </si>
  <si>
    <t>Blockchain e Bitcoin para Leigos: Simples e Fácil</t>
  </si>
  <si>
    <t>Bootcamp Cientista de Dados: 10 aplicações Web Completas</t>
  </si>
  <si>
    <t>Bootcamp Engenharia de Dados: Construa um Projeto Real</t>
  </si>
  <si>
    <t>Bootcamp Inteligência Artificial: Construa um Projeto Real</t>
  </si>
  <si>
    <t>Carreiras do Futuro: Prepare-se para Inteligência Artificial</t>
  </si>
  <si>
    <t>Ciência de Dados para Negócios usando Excel</t>
  </si>
  <si>
    <t>Crie Agentes de Inteligência Artificial: do Zero ao Deploy</t>
  </si>
  <si>
    <t>Dashboards Matadores: Domine a Arte de Apresentação de Dados</t>
  </si>
  <si>
    <t>Data Lakes: Big Data com Arquitetura Lambda</t>
  </si>
  <si>
    <t>Data Science para Iniciantes: Fácil e Simples!</t>
  </si>
  <si>
    <t>Data Storytelling e Visualização de Dados</t>
  </si>
  <si>
    <t>Data Storytelling e Visualização para Dashboards</t>
  </si>
  <si>
    <t>Dbt: Crie e Execute Pipelines de Engenharia de Dados</t>
  </si>
  <si>
    <t>Deep Learning de A-Z: Redes Neurais Artificiais na Prática</t>
  </si>
  <si>
    <t>Domine Apache Kafka, Fundamentos e Aplicações Reais</t>
  </si>
  <si>
    <t>Domine AutoML: Machine Learning Automatizado</t>
  </si>
  <si>
    <t>Domine Duckdb: com MotherDuck, Streamlit e mais</t>
  </si>
  <si>
    <t>Domine Looker Studio (Google Data Studio)</t>
  </si>
  <si>
    <t>Domine NoSQL com Redis com Prática em Python e R</t>
  </si>
  <si>
    <t>Domine Pytest: Testes de Software com Python</t>
  </si>
  <si>
    <t>Elasticsearch e Elastic Stack: o Curso Completo!</t>
  </si>
  <si>
    <t>Engenharia de Dados com Apache Iceberg e Spark</t>
  </si>
  <si>
    <t>Engenharia de Prompt: do Zero ao Avançado + APIs + Bônus</t>
  </si>
  <si>
    <t>Estatística para Iniciantes com Exemplos Práticos em R</t>
  </si>
  <si>
    <t>Formação Analista de Dados e Business Intelligence</t>
  </si>
  <si>
    <t>Formação Cientista de Dados: O Curso Completo</t>
  </si>
  <si>
    <t>Formação Cientista de Dados: Tópicos Avançados</t>
  </si>
  <si>
    <t>Formação Completa Inteligência Artificial e Machine Learning (VERSÃO LEGADA)</t>
  </si>
  <si>
    <t>Formação Data Warehouse com Redshift, BigQuery e SnowFlake</t>
  </si>
  <si>
    <t>Formação Processamento de Linguagem Natural, LLMs e Gen AI</t>
  </si>
  <si>
    <t>Formação Profissional Python: Curso Completo + Projetos</t>
  </si>
  <si>
    <t>Fundamentos da Linguagem R com RStudio</t>
  </si>
  <si>
    <t>Gestão de Projetos de Data Science e Big Data</t>
  </si>
  <si>
    <t>Git e Github para Todos: Fácil e Simples!</t>
  </si>
  <si>
    <t>Guia Prático de Gráficos e Visualização com R</t>
  </si>
  <si>
    <t>Inovação 4.0 com Inteligência Artificial e Blockchain</t>
  </si>
  <si>
    <t>Inteligência Artificial com Algoritmos Genéticos em R</t>
  </si>
  <si>
    <t>Inteligência Artificial como Serviço: Hands on com Python</t>
  </si>
  <si>
    <t>Inteligência Artificial Explicável (xai) com Python</t>
  </si>
  <si>
    <t>Inteligência Artificial para Negócios e Líderes na Prática</t>
  </si>
  <si>
    <t>Inteligência Artificial para Todos com Excel</t>
  </si>
  <si>
    <t>Inteligências Artificiais Generativas com Python</t>
  </si>
  <si>
    <t>Introdução a Bancos de Dados e Linguagem SQL</t>
  </si>
  <si>
    <t>Introdução a dApps: Aplicações Descentralizadas e Blockchain</t>
  </si>
  <si>
    <t>Introdução a Engenharia de Dados</t>
  </si>
  <si>
    <t>Introdução a Grafos e Análises de Redes Sociais</t>
  </si>
  <si>
    <t>Introdução ao MongoDB: Fácil e Simples</t>
  </si>
  <si>
    <t>Introdução ao Tableau: Fácil e Simples!</t>
  </si>
  <si>
    <t>LangChain e LangGraph: Crie Agentes de IA com LLMs e RAGs</t>
  </si>
  <si>
    <t>Lei de Benford com R e Excel: detecte fraudes e anomalias</t>
  </si>
  <si>
    <t>Lógica de Programação para Data Science e AI com Python</t>
  </si>
  <si>
    <t>Machine Learning com Spark e Pyspark: o Curso Completo</t>
  </si>
  <si>
    <t>Machine Learning "no-code": Aprenda de Forma Simples!</t>
  </si>
  <si>
    <t>MCP na Prática: Crie Agentes e Multi-Agentes com LLMs</t>
  </si>
  <si>
    <t>MLOps: Implantação e Operação de Modelos de Machine Learning</t>
  </si>
  <si>
    <t>Neural Networks e Deep Learning para Leigos: Sem Mistérios!</t>
  </si>
  <si>
    <t>O Guia Completo de Carreira em Data Science e AI</t>
  </si>
  <si>
    <t>OpenAI com Python: GPT, Dall-E, Whisper, TTS e mais</t>
  </si>
  <si>
    <t>Power BI para Data Science Além da Visualização</t>
  </si>
  <si>
    <t>Power BI para Todos: Fácil e Simples!</t>
  </si>
  <si>
    <t>Preparatório AWS Certified Machine Learning Specialty</t>
  </si>
  <si>
    <t>Projeto Real de Engenharia de Dados: Real Time Analytics</t>
  </si>
  <si>
    <t>Python para Iniciantes: Aprenda do Zero!</t>
  </si>
  <si>
    <t>Séries Temporais e Análises Preditivas com Python</t>
  </si>
  <si>
    <t>Séries Temporais e Análises Preditivas: o Curso Completo</t>
  </si>
  <si>
    <t>SQL Moderno e Completo: Inclui Mais de 300 Atividades</t>
  </si>
  <si>
    <t>SQL para Big Data: Ecossistema Hadoop com Hive e Impala</t>
  </si>
  <si>
    <t>Streamlit: Crie 12 Aplicações Web de Inteligência Artificial</t>
  </si>
  <si>
    <t>Teste Data Science Nível I</t>
  </si>
  <si>
    <t>Teste Data Science Nível II</t>
  </si>
  <si>
    <t>Teste Data Science Nível III</t>
  </si>
  <si>
    <t>Testes de Engenharia de Dados</t>
  </si>
  <si>
    <t>Um Guia de Migração de Desenvolvedor para Cientista de Dados</t>
  </si>
  <si>
    <t>Crie 50 Aplicações Modernas de Inteligência Artificial</t>
  </si>
  <si>
    <t>Elasticsearch 9: Buscas, Indíces e Dashboards</t>
  </si>
  <si>
    <t>Formação Agentes e Multi-Agentes de IA com n8n 2.0 (2026)</t>
  </si>
  <si>
    <t>Formação Completa Apache Airflow 3 - Atualizado 2026</t>
  </si>
  <si>
    <t>Formação Completa Inteligência Artificial</t>
  </si>
  <si>
    <t>Formação Engenharia de Dados: Domine Big Data!</t>
  </si>
  <si>
    <t>Formação Engenheiro de Blockchain e Criptomoedas (2026)</t>
  </si>
  <si>
    <t>Formação LLMs com GPT, Gemini e Muito Mais</t>
  </si>
  <si>
    <t>Formação n8n: Workflows, APIs e IA na Prática</t>
  </si>
  <si>
    <t>Formação Zapier: Automação No-Code com Agentes e IA (2026)</t>
  </si>
  <si>
    <t>Fundamentos de Inteligência Artificial Moderna</t>
  </si>
  <si>
    <t>Fundamentos de Segurança Cibernética e de Dados</t>
  </si>
  <si>
    <t>IA Generativa para Finanças e Contabilidade</t>
  </si>
  <si>
    <t>IA para Investimentos: Crie Aplicação Multi-Agentes com LLMs</t>
  </si>
  <si>
    <t>Inteligência Artificial: Guia Completo para Iniciantes</t>
  </si>
  <si>
    <t>Introdução a Inteligência Artificial Generativa</t>
  </si>
  <si>
    <t>O Guia Completo para Carreira em Engenharia de Dados</t>
  </si>
  <si>
    <t>Vibe Coding do Zero ao Pro: Programe com IA e LLMs</t>
  </si>
  <si>
    <t>url</t>
  </si>
  <si>
    <t>https://www.eia.ai/carreira-engenharia-de-dados</t>
  </si>
  <si>
    <t>nome</t>
  </si>
  <si>
    <t>https://www.eia.ai/carreira-inteligencia-artificial</t>
  </si>
  <si>
    <t>https://www.eia.ai/carreira-engenheiro-de-machine-learning</t>
  </si>
  <si>
    <t>https://www.eia.ai/carreira-analista-de-business-intelligence</t>
  </si>
  <si>
    <t>https://www.eia.ai/carreira-inteligencia-artificial-generativa-e-grandes-modelos-de-linguagem</t>
  </si>
  <si>
    <t>https://www.eia.ai/carreira-analytics-engineer</t>
  </si>
  <si>
    <t>https://www.eia.ai/carreira-iniciantes</t>
  </si>
  <si>
    <t>https://www.eia.ai/carreira-ciencia-de-dados</t>
  </si>
  <si>
    <t>https://www.eia.ai/carreira-ai-para-negocios</t>
  </si>
  <si>
    <t>Aprenda dbt: Construa uma Arquitetura Medalhão do Zero 2026</t>
  </si>
  <si>
    <t>Claude Code com Subagentes: Monte uma Equipe de IA para Criação de Aplicações</t>
  </si>
  <si>
    <t>Containers com Docker, Compose e Kubernetes 2026</t>
  </si>
  <si>
    <t>Crie Agentes de IA para Direito Sem Código (no-code) 2026</t>
  </si>
  <si>
    <t>Crie Produtos e Agentes de IA sem Código (no-code) 2026</t>
  </si>
  <si>
    <t>Crie Produtos e Agentes de IA Sem Código para Marketing 2026</t>
  </si>
  <si>
    <t>Domine Amazon Quick Sight na Prática (2026)</t>
  </si>
  <si>
    <t>Formação Completa Apache Spark: Datalakes e Iceberg 2026</t>
  </si>
  <si>
    <t>Formação Completa DataBricks: do Básico ao Avançado 2026</t>
  </si>
  <si>
    <t>Formação em Engenharia de Dados Avançada 2026</t>
  </si>
  <si>
    <t>Fundamentos de Governança de Dados Moderna 2026</t>
  </si>
  <si>
    <t>Guia para Trabalhar na "Gringa"</t>
  </si>
  <si>
    <t>IA Generativa para Customer Success com Casos Práticos 2026</t>
  </si>
  <si>
    <t>Spec Driven Development (SDD): Engenharia de Software com IA</t>
  </si>
  <si>
    <t>Terraform na Prática: Rápido e Direto ao Ponto 2026</t>
  </si>
  <si>
    <t>https://www.eia.ai/carreira-ai-engineer</t>
  </si>
  <si>
    <t>AI Engineer</t>
  </si>
  <si>
    <t>IA para Profissionais e Negócios</t>
  </si>
  <si>
    <t>Ciência de Dados</t>
  </si>
  <si>
    <t>Engenheiro de Machine Learning</t>
  </si>
  <si>
    <t>Inteligência Artificial</t>
  </si>
  <si>
    <t>Engenharia de Dados</t>
  </si>
  <si>
    <t>Analista de Dados e BI</t>
  </si>
  <si>
    <t>Agentes, IA Generativa e LLMs</t>
  </si>
  <si>
    <t>Analytics Engineer</t>
  </si>
  <si>
    <t>Iniciantes</t>
  </si>
  <si>
    <t>Automação e Aplicações Low-code / No-code</t>
  </si>
  <si>
    <t>https://www.eia.ai/carreira-automacao-e-aplicacoes-low-code-no-code</t>
  </si>
  <si>
    <t>Engenharia de Software com IA</t>
  </si>
  <si>
    <t>https://www.eia.ai/trilha-engenharia-de-software-com-ia</t>
  </si>
  <si>
    <t>Sem Trilha</t>
  </si>
  <si>
    <t>X</t>
  </si>
  <si>
    <t>Total</t>
  </si>
  <si>
    <t>x</t>
  </si>
  <si>
    <t xml:space="preserve">[ ] </t>
  </si>
  <si>
    <t>Ordem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</si>
</sst>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2"/>
      <color theme="1"/>
      <name val="Montserrat"/>
    </font>
    <font>
      <b/>
      <sz val="12"/>
      <color theme="1"/>
      <name val="Montserrat"/>
    </font>
    <font>
      <u/>
      <sz val="11"/>
      <color theme="10"/>
      <name val="Calibri"/>
      <scheme val="minor"/>
    </font>
    <font>
      <sz val="12"/>
      <color rgb="FFFFFFFF"/>
      <name val="Montserrat"/>
    </font>
    <font>
      <u/>
      <sz val="12"/>
      <color theme="10"/>
      <name val="Montserrat"/>
    </font>
  </fonts>
  <fills count="3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1" xfId="0" applyFont="1" applyBorder="1"/>
    <xf numFmtId="0" fontId="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/>
    <xf numFmtId="0" fontId="2" fillId="2" borderId="2" xfId="0" applyFont="1" applyFill="1" applyBorder="1" applyAlignment="1">
      <alignment horizontal="left" vertical="top" wrapText="1"/>
    </xf>
    <xf numFmtId="0" fontId="1" fillId="0" borderId="2" xfId="0" applyFont="1" applyBorder="1"/>
    <xf numFmtId="0" fontId="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5" fillId="0" borderId="1" xfId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3" xfId="0" applyFont="1" applyFill="1" applyBorder="1"/>
    <xf numFmtId="0" fontId="1" fillId="0" borderId="0" xfId="0" applyFont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ai/carreira-analytics-engineer" TargetMode="External"/><Relationship Id="rId2" Type="http://schemas.openxmlformats.org/officeDocument/2006/relationships/hyperlink" Target="https://www.eia.ai/carreira-inteligencia-artificial-generativa-e-grandes-modelos-de-linguagem" TargetMode="External"/><Relationship Id="rId1" Type="http://schemas.openxmlformats.org/officeDocument/2006/relationships/hyperlink" Target="https://www.eia.ai/carreira-analista-de-business-intelligence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eia.ai/carreira-automacao-e-aplicacoes-low-code-no-code" TargetMode="External"/><Relationship Id="rId4" Type="http://schemas.openxmlformats.org/officeDocument/2006/relationships/hyperlink" Target="https://www.eia.ai/carreira-inicia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2"/>
  <sheetViews>
    <sheetView workbookViewId="0">
      <pane xSplit="2" ySplit="1" topLeftCell="I57" activePane="bottomRight" state="frozen"/>
      <selection pane="topRight" activeCell="C1" sqref="C1"/>
      <selection pane="bottomLeft" activeCell="A2" sqref="A2"/>
      <selection pane="bottomRight" activeCell="M39" sqref="M39"/>
    </sheetView>
  </sheetViews>
  <sheetFormatPr defaultColWidth="14.42578125" defaultRowHeight="15" x14ac:dyDescent="0.25"/>
  <cols>
    <col min="1" max="1" width="6" bestFit="1" customWidth="1"/>
    <col min="2" max="2" width="100" bestFit="1" customWidth="1"/>
    <col min="3" max="15" width="22.140625" customWidth="1"/>
  </cols>
  <sheetData>
    <row r="1" spans="1:15" ht="56.25" x14ac:dyDescent="0.25">
      <c r="A1" s="2" t="s">
        <v>0</v>
      </c>
      <c r="B1" s="4" t="s">
        <v>1</v>
      </c>
      <c r="C1" s="6" t="s">
        <v>129</v>
      </c>
      <c r="D1" s="6" t="s">
        <v>128</v>
      </c>
      <c r="E1" s="6" t="s">
        <v>127</v>
      </c>
      <c r="F1" s="6" t="s">
        <v>126</v>
      </c>
      <c r="G1" s="6" t="s">
        <v>125</v>
      </c>
      <c r="H1" s="6" t="s">
        <v>124</v>
      </c>
      <c r="I1" s="6" t="s">
        <v>130</v>
      </c>
      <c r="J1" s="6" t="s">
        <v>131</v>
      </c>
      <c r="K1" s="6" t="s">
        <v>132</v>
      </c>
      <c r="L1" s="6" t="s">
        <v>133</v>
      </c>
      <c r="M1" s="6" t="s">
        <v>134</v>
      </c>
      <c r="N1" s="6" t="s">
        <v>136</v>
      </c>
      <c r="O1" s="6" t="s">
        <v>138</v>
      </c>
    </row>
    <row r="2" spans="1:15" ht="18.75" x14ac:dyDescent="0.35">
      <c r="A2" s="1">
        <v>1</v>
      </c>
      <c r="B2" s="5" t="s">
        <v>2</v>
      </c>
      <c r="C2" s="9"/>
      <c r="D2" s="9"/>
      <c r="E2" s="9"/>
      <c r="F2" s="10"/>
      <c r="G2" s="9"/>
      <c r="H2" s="9"/>
      <c r="I2" s="9"/>
      <c r="J2" s="9"/>
      <c r="K2" s="9"/>
      <c r="L2" s="9"/>
      <c r="M2" s="9"/>
      <c r="N2" s="9"/>
      <c r="O2" s="9"/>
    </row>
    <row r="3" spans="1:15" ht="18.75" x14ac:dyDescent="0.35">
      <c r="A3" s="1">
        <f>A2+1</f>
        <v>2</v>
      </c>
      <c r="B3" s="5" t="s">
        <v>108</v>
      </c>
      <c r="C3" s="9"/>
      <c r="D3" s="9"/>
      <c r="E3" s="9"/>
      <c r="F3" s="10"/>
      <c r="G3" s="9"/>
      <c r="H3" s="9"/>
      <c r="I3" s="9"/>
      <c r="J3" s="9"/>
      <c r="K3" s="9"/>
      <c r="L3" s="9"/>
      <c r="M3" s="9"/>
      <c r="N3" s="9"/>
      <c r="O3" s="9"/>
    </row>
    <row r="4" spans="1:15" ht="18.75" x14ac:dyDescent="0.35">
      <c r="A4" s="1">
        <f t="shared" ref="A4:A67" si="0">A3+1</f>
        <v>3</v>
      </c>
      <c r="B4" s="5" t="s">
        <v>3</v>
      </c>
      <c r="C4" s="9" t="s">
        <v>139</v>
      </c>
      <c r="D4" s="9"/>
      <c r="E4" s="9"/>
      <c r="F4" s="8"/>
      <c r="G4" s="9"/>
      <c r="H4" s="9"/>
      <c r="I4" s="9"/>
      <c r="J4" s="9"/>
      <c r="K4" s="9"/>
      <c r="L4" s="9"/>
      <c r="M4" s="9"/>
      <c r="N4" s="9"/>
      <c r="O4" s="9"/>
    </row>
    <row r="5" spans="1:15" ht="18.75" x14ac:dyDescent="0.35">
      <c r="A5" s="1">
        <f t="shared" si="0"/>
        <v>4</v>
      </c>
      <c r="B5" s="5" t="s">
        <v>4</v>
      </c>
      <c r="C5" s="9"/>
      <c r="D5" s="9"/>
      <c r="E5" s="9"/>
      <c r="F5" s="10"/>
      <c r="G5" s="9"/>
      <c r="H5" s="9"/>
      <c r="I5" s="9"/>
      <c r="J5" s="9"/>
      <c r="K5" s="9"/>
      <c r="L5" s="9"/>
      <c r="M5" s="9"/>
      <c r="N5" s="9"/>
      <c r="O5" s="9"/>
    </row>
    <row r="6" spans="1:15" ht="18.75" x14ac:dyDescent="0.35">
      <c r="A6" s="1">
        <f t="shared" si="0"/>
        <v>5</v>
      </c>
      <c r="B6" s="5" t="s">
        <v>5</v>
      </c>
      <c r="C6" s="9"/>
      <c r="D6" s="9"/>
      <c r="E6" s="9"/>
      <c r="F6" s="10"/>
      <c r="G6" s="9"/>
      <c r="H6" s="9"/>
      <c r="I6" s="9"/>
      <c r="J6" s="9"/>
      <c r="K6" s="9"/>
      <c r="L6" s="9"/>
      <c r="M6" s="9"/>
      <c r="N6" s="9"/>
      <c r="O6" s="9"/>
    </row>
    <row r="7" spans="1:15" ht="18.75" x14ac:dyDescent="0.35">
      <c r="A7" s="1">
        <f t="shared" si="0"/>
        <v>6</v>
      </c>
      <c r="B7" s="5" t="s">
        <v>6</v>
      </c>
      <c r="C7" s="9"/>
      <c r="D7" s="9"/>
      <c r="E7" s="9"/>
      <c r="F7" s="10"/>
      <c r="G7" s="9"/>
      <c r="H7" s="9"/>
      <c r="I7" s="9"/>
      <c r="J7" s="9"/>
      <c r="K7" s="9"/>
      <c r="L7" s="9"/>
      <c r="M7" s="9"/>
      <c r="N7" s="9"/>
      <c r="O7" s="9"/>
    </row>
    <row r="8" spans="1:15" ht="18.75" x14ac:dyDescent="0.35">
      <c r="A8" s="1">
        <f t="shared" si="0"/>
        <v>7</v>
      </c>
      <c r="B8" s="5" t="s">
        <v>7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ht="18.75" x14ac:dyDescent="0.35">
      <c r="A9" s="1">
        <f t="shared" si="0"/>
        <v>8</v>
      </c>
      <c r="B9" s="5" t="s">
        <v>8</v>
      </c>
      <c r="C9" s="9" t="s">
        <v>139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ht="18.75" x14ac:dyDescent="0.35">
      <c r="A10" s="1">
        <f t="shared" si="0"/>
        <v>9</v>
      </c>
      <c r="B10" s="5" t="s">
        <v>9</v>
      </c>
      <c r="C10" s="9"/>
      <c r="D10" s="9"/>
      <c r="E10" s="9" t="s">
        <v>141</v>
      </c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ht="18.75" x14ac:dyDescent="0.35">
      <c r="A11" s="1">
        <f t="shared" si="0"/>
        <v>10</v>
      </c>
      <c r="B11" s="5" t="s">
        <v>10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ht="18.75" x14ac:dyDescent="0.35">
      <c r="A12" s="1">
        <f t="shared" si="0"/>
        <v>11</v>
      </c>
      <c r="B12" s="5" t="s">
        <v>11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ht="18.75" x14ac:dyDescent="0.35">
      <c r="A13" s="1">
        <f t="shared" si="0"/>
        <v>12</v>
      </c>
      <c r="B13" s="5" t="s">
        <v>109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ht="18.75" x14ac:dyDescent="0.35">
      <c r="A14" s="1">
        <f t="shared" si="0"/>
        <v>13</v>
      </c>
      <c r="B14" s="5" t="s">
        <v>110</v>
      </c>
      <c r="C14" s="9" t="s">
        <v>139</v>
      </c>
      <c r="D14" s="9" t="s">
        <v>141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ht="18.75" x14ac:dyDescent="0.35">
      <c r="A15" s="1">
        <f t="shared" si="0"/>
        <v>14</v>
      </c>
      <c r="B15" s="5" t="s">
        <v>79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ht="18.75" x14ac:dyDescent="0.35">
      <c r="A16" s="1">
        <f t="shared" si="0"/>
        <v>15</v>
      </c>
      <c r="B16" s="5" t="s">
        <v>111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ht="18.75" x14ac:dyDescent="0.35">
      <c r="A17" s="1">
        <f t="shared" si="0"/>
        <v>16</v>
      </c>
      <c r="B17" s="5" t="s">
        <v>12</v>
      </c>
      <c r="C17" s="9"/>
      <c r="D17" s="9" t="s">
        <v>141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ht="18.75" x14ac:dyDescent="0.35">
      <c r="A18" s="1">
        <f t="shared" si="0"/>
        <v>17</v>
      </c>
      <c r="B18" s="5" t="s">
        <v>112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 t="s">
        <v>141</v>
      </c>
      <c r="N18" s="9"/>
      <c r="O18" s="9"/>
    </row>
    <row r="19" spans="1:15" ht="18.75" x14ac:dyDescent="0.35">
      <c r="A19" s="1">
        <f t="shared" si="0"/>
        <v>18</v>
      </c>
      <c r="B19" s="5" t="s">
        <v>113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ht="18.75" x14ac:dyDescent="0.35">
      <c r="A20" s="1">
        <f t="shared" si="0"/>
        <v>19</v>
      </c>
      <c r="B20" s="5" t="s">
        <v>13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ht="18.75" x14ac:dyDescent="0.35">
      <c r="A21" s="1">
        <f t="shared" si="0"/>
        <v>20</v>
      </c>
      <c r="B21" s="5" t="s">
        <v>14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ht="18.75" x14ac:dyDescent="0.35">
      <c r="A22" s="1">
        <f t="shared" si="0"/>
        <v>21</v>
      </c>
      <c r="B22" s="5" t="s">
        <v>15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ht="18.75" x14ac:dyDescent="0.35">
      <c r="A23" s="1">
        <f t="shared" si="0"/>
        <v>22</v>
      </c>
      <c r="B23" s="5" t="s">
        <v>16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ht="18.75" x14ac:dyDescent="0.35">
      <c r="A24" s="1">
        <f t="shared" si="0"/>
        <v>23</v>
      </c>
      <c r="B24" s="5" t="s">
        <v>17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ht="18.75" x14ac:dyDescent="0.35">
      <c r="A25" s="1">
        <f t="shared" si="0"/>
        <v>24</v>
      </c>
      <c r="B25" s="5" t="s">
        <v>18</v>
      </c>
      <c r="C25" s="9" t="s">
        <v>139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ht="18.75" x14ac:dyDescent="0.35">
      <c r="A26" s="1">
        <f t="shared" si="0"/>
        <v>25</v>
      </c>
      <c r="B26" s="5" t="s">
        <v>19</v>
      </c>
      <c r="C26" s="9"/>
      <c r="D26" s="9" t="s">
        <v>141</v>
      </c>
      <c r="E26" s="9" t="s">
        <v>141</v>
      </c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ht="18.75" x14ac:dyDescent="0.35">
      <c r="A27" s="1">
        <f t="shared" si="0"/>
        <v>26</v>
      </c>
      <c r="B27" s="5" t="s">
        <v>114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ht="18.75" x14ac:dyDescent="0.35">
      <c r="A28" s="1">
        <f t="shared" si="0"/>
        <v>27</v>
      </c>
      <c r="B28" s="5" t="s">
        <v>20</v>
      </c>
      <c r="C28" s="9" t="s">
        <v>139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ht="18.75" x14ac:dyDescent="0.35">
      <c r="A29" s="1">
        <f t="shared" si="0"/>
        <v>28</v>
      </c>
      <c r="B29" s="5" t="s">
        <v>21</v>
      </c>
      <c r="C29" s="9"/>
      <c r="D29" s="9"/>
      <c r="E29" s="9" t="s">
        <v>141</v>
      </c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ht="18.75" x14ac:dyDescent="0.35">
      <c r="A30" s="1">
        <f t="shared" si="0"/>
        <v>29</v>
      </c>
      <c r="B30" s="5" t="s">
        <v>22</v>
      </c>
      <c r="C30" s="9" t="s">
        <v>139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ht="18.75" x14ac:dyDescent="0.35">
      <c r="A31" s="1">
        <f t="shared" si="0"/>
        <v>30</v>
      </c>
      <c r="B31" s="5" t="s">
        <v>23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ht="18.75" x14ac:dyDescent="0.35">
      <c r="A32" s="1">
        <f t="shared" si="0"/>
        <v>31</v>
      </c>
      <c r="B32" s="5" t="s">
        <v>24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ht="18.75" x14ac:dyDescent="0.35">
      <c r="A33" s="1">
        <f t="shared" si="0"/>
        <v>32</v>
      </c>
      <c r="B33" s="5" t="s">
        <v>25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ht="18.75" x14ac:dyDescent="0.35">
      <c r="A34" s="1">
        <f t="shared" si="0"/>
        <v>33</v>
      </c>
      <c r="B34" s="5" t="s">
        <v>80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ht="18.75" x14ac:dyDescent="0.35">
      <c r="A35" s="1">
        <f t="shared" si="0"/>
        <v>34</v>
      </c>
      <c r="B35" s="5" t="s">
        <v>26</v>
      </c>
      <c r="C35" s="9" t="s">
        <v>139</v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ht="18.75" x14ac:dyDescent="0.35">
      <c r="A36" s="1">
        <f t="shared" si="0"/>
        <v>35</v>
      </c>
      <c r="B36" s="5" t="s">
        <v>27</v>
      </c>
      <c r="C36" s="9" t="s">
        <v>139</v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ht="18.75" x14ac:dyDescent="0.35">
      <c r="A37" s="1">
        <f t="shared" si="0"/>
        <v>36</v>
      </c>
      <c r="B37" s="5" t="s">
        <v>28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ht="18.75" x14ac:dyDescent="0.35">
      <c r="A38" s="1">
        <f t="shared" si="0"/>
        <v>37</v>
      </c>
      <c r="B38" s="5" t="s">
        <v>29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1:15" ht="18.75" x14ac:dyDescent="0.35">
      <c r="A39" s="1">
        <f t="shared" si="0"/>
        <v>38</v>
      </c>
      <c r="B39" s="5" t="s">
        <v>81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 t="s">
        <v>141</v>
      </c>
      <c r="N39" s="9"/>
      <c r="O39" s="9"/>
    </row>
    <row r="40" spans="1:15" ht="18.75" x14ac:dyDescent="0.35">
      <c r="A40" s="1">
        <f t="shared" si="0"/>
        <v>39</v>
      </c>
      <c r="B40" s="5" t="s">
        <v>30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ht="18.75" x14ac:dyDescent="0.35">
      <c r="A41" s="1">
        <f t="shared" si="0"/>
        <v>40</v>
      </c>
      <c r="B41" s="5" t="s">
        <v>31</v>
      </c>
      <c r="C41" s="9"/>
      <c r="D41" s="9" t="s">
        <v>141</v>
      </c>
      <c r="E41" s="9" t="s">
        <v>141</v>
      </c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ht="18.75" x14ac:dyDescent="0.35">
      <c r="A42" s="1">
        <f t="shared" si="0"/>
        <v>41</v>
      </c>
      <c r="B42" s="5" t="s">
        <v>32</v>
      </c>
      <c r="C42" s="9"/>
      <c r="D42" s="9" t="s">
        <v>141</v>
      </c>
      <c r="E42" s="9" t="s">
        <v>141</v>
      </c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ht="18.75" x14ac:dyDescent="0.35">
      <c r="A43" s="1">
        <f t="shared" si="0"/>
        <v>42</v>
      </c>
      <c r="B43" s="5" t="s">
        <v>82</v>
      </c>
      <c r="C43" s="9" t="s">
        <v>139</v>
      </c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ht="18.75" x14ac:dyDescent="0.35">
      <c r="A44" s="1">
        <f t="shared" si="0"/>
        <v>43</v>
      </c>
      <c r="B44" s="5" t="s">
        <v>115</v>
      </c>
      <c r="C44" s="9" t="s">
        <v>139</v>
      </c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ht="18.75" x14ac:dyDescent="0.35">
      <c r="A45" s="1">
        <f t="shared" si="0"/>
        <v>44</v>
      </c>
      <c r="B45" s="5" t="s">
        <v>116</v>
      </c>
      <c r="C45" s="9" t="s">
        <v>139</v>
      </c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 spans="1:15" ht="18.75" x14ac:dyDescent="0.35">
      <c r="A46" s="1">
        <f t="shared" si="0"/>
        <v>45</v>
      </c>
      <c r="B46" s="5" t="s">
        <v>83</v>
      </c>
      <c r="C46" s="9"/>
      <c r="D46" s="9" t="s">
        <v>141</v>
      </c>
      <c r="E46" s="9" t="s">
        <v>141</v>
      </c>
      <c r="F46" s="9"/>
      <c r="G46" s="9"/>
      <c r="H46" s="9"/>
      <c r="I46" s="9"/>
      <c r="J46" s="9"/>
      <c r="K46" s="9"/>
      <c r="L46" s="9"/>
      <c r="M46" s="9"/>
      <c r="N46" s="9"/>
      <c r="O46" s="9"/>
    </row>
    <row r="47" spans="1:15" ht="18.75" x14ac:dyDescent="0.35">
      <c r="A47" s="1">
        <f t="shared" si="0"/>
        <v>46</v>
      </c>
      <c r="B47" s="5" t="s">
        <v>33</v>
      </c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 spans="1:15" ht="18.75" x14ac:dyDescent="0.35">
      <c r="A48" s="1">
        <f t="shared" si="0"/>
        <v>47</v>
      </c>
      <c r="B48" s="5" t="s">
        <v>34</v>
      </c>
      <c r="C48" s="9" t="s">
        <v>139</v>
      </c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 spans="1:15" ht="18.75" x14ac:dyDescent="0.35">
      <c r="A49" s="1">
        <f t="shared" si="0"/>
        <v>48</v>
      </c>
      <c r="B49" s="5" t="s">
        <v>117</v>
      </c>
      <c r="C49" s="9" t="s">
        <v>139</v>
      </c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 spans="1:15" ht="18.75" x14ac:dyDescent="0.35">
      <c r="A50" s="1">
        <f t="shared" si="0"/>
        <v>49</v>
      </c>
      <c r="B50" s="5" t="s">
        <v>84</v>
      </c>
      <c r="C50" s="9" t="s">
        <v>139</v>
      </c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 spans="1:15" ht="18.75" x14ac:dyDescent="0.35">
      <c r="A51" s="1">
        <f t="shared" si="0"/>
        <v>50</v>
      </c>
      <c r="B51" s="5" t="s">
        <v>85</v>
      </c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 spans="1:15" ht="18.75" x14ac:dyDescent="0.35">
      <c r="A52" s="1">
        <f t="shared" si="0"/>
        <v>51</v>
      </c>
      <c r="B52" s="5" t="s">
        <v>86</v>
      </c>
      <c r="C52" s="9"/>
      <c r="D52" s="9" t="s">
        <v>141</v>
      </c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 spans="1:15" ht="18.75" x14ac:dyDescent="0.35">
      <c r="A53" s="1">
        <f t="shared" si="0"/>
        <v>52</v>
      </c>
      <c r="B53" s="5" t="s">
        <v>87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 t="s">
        <v>141</v>
      </c>
      <c r="N53" s="9"/>
      <c r="O53" s="9"/>
    </row>
    <row r="54" spans="1:15" ht="18.75" x14ac:dyDescent="0.35">
      <c r="A54" s="1">
        <f t="shared" si="0"/>
        <v>53</v>
      </c>
      <c r="B54" s="5" t="s">
        <v>35</v>
      </c>
      <c r="C54" s="9"/>
      <c r="D54" s="9" t="s">
        <v>141</v>
      </c>
      <c r="E54" s="9" t="s">
        <v>141</v>
      </c>
      <c r="F54" s="9"/>
      <c r="G54" s="9"/>
      <c r="H54" s="9"/>
      <c r="I54" s="9"/>
      <c r="J54" s="9"/>
      <c r="K54" s="9"/>
      <c r="L54" s="9"/>
      <c r="M54" s="9"/>
      <c r="N54" s="9"/>
      <c r="O54" s="9"/>
    </row>
    <row r="55" spans="1:15" ht="18.75" x14ac:dyDescent="0.35">
      <c r="A55" s="1">
        <f t="shared" si="0"/>
        <v>54</v>
      </c>
      <c r="B55" s="5" t="s">
        <v>36</v>
      </c>
      <c r="C55" s="9" t="s">
        <v>139</v>
      </c>
      <c r="D55" s="9" t="s">
        <v>141</v>
      </c>
      <c r="E55" s="9" t="s">
        <v>141</v>
      </c>
      <c r="F55" s="9"/>
      <c r="G55" s="9"/>
      <c r="H55" s="9"/>
      <c r="I55" s="9"/>
      <c r="J55" s="9"/>
      <c r="K55" s="9"/>
      <c r="L55" s="9"/>
      <c r="M55" s="9"/>
      <c r="N55" s="9"/>
      <c r="O55" s="9"/>
    </row>
    <row r="56" spans="1:15" ht="18.75" x14ac:dyDescent="0.35">
      <c r="A56" s="1">
        <f t="shared" si="0"/>
        <v>55</v>
      </c>
      <c r="B56" s="5" t="s">
        <v>88</v>
      </c>
      <c r="C56" s="9"/>
      <c r="D56" s="9"/>
      <c r="E56" s="9"/>
      <c r="F56" s="9"/>
      <c r="G56" s="9"/>
      <c r="H56" s="9"/>
      <c r="I56" s="9"/>
      <c r="J56" s="9"/>
      <c r="K56" s="9"/>
      <c r="L56" s="9"/>
      <c r="M56" s="9" t="s">
        <v>141</v>
      </c>
      <c r="N56" s="9"/>
      <c r="O56" s="9"/>
    </row>
    <row r="57" spans="1:15" ht="18.75" x14ac:dyDescent="0.35">
      <c r="A57" s="1">
        <f t="shared" si="0"/>
        <v>56</v>
      </c>
      <c r="B57" s="5" t="s">
        <v>37</v>
      </c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 spans="1:15" ht="18.75" x14ac:dyDescent="0.35">
      <c r="A58" s="1">
        <f t="shared" si="0"/>
        <v>57</v>
      </c>
      <c r="B58" s="5" t="s">
        <v>118</v>
      </c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 spans="1:15" ht="18.75" x14ac:dyDescent="0.35">
      <c r="A59" s="1">
        <f t="shared" si="0"/>
        <v>58</v>
      </c>
      <c r="B59" s="5" t="s">
        <v>89</v>
      </c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 spans="1:15" ht="18.75" x14ac:dyDescent="0.35">
      <c r="A60" s="1">
        <f t="shared" si="0"/>
        <v>59</v>
      </c>
      <c r="B60" s="5" t="s">
        <v>90</v>
      </c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 spans="1:15" ht="18.75" x14ac:dyDescent="0.35">
      <c r="A61" s="1">
        <f t="shared" si="0"/>
        <v>60</v>
      </c>
      <c r="B61" s="5" t="s">
        <v>38</v>
      </c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 spans="1:15" ht="18.75" x14ac:dyDescent="0.35">
      <c r="A62" s="1">
        <f t="shared" si="0"/>
        <v>61</v>
      </c>
      <c r="B62" s="5" t="s">
        <v>39</v>
      </c>
      <c r="C62" s="9" t="s">
        <v>139</v>
      </c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 spans="1:15" ht="18.75" x14ac:dyDescent="0.35">
      <c r="A63" s="1">
        <f t="shared" si="0"/>
        <v>62</v>
      </c>
      <c r="B63" s="5" t="s">
        <v>119</v>
      </c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 spans="1:15" ht="18.75" x14ac:dyDescent="0.35">
      <c r="A64" s="1">
        <f t="shared" si="0"/>
        <v>63</v>
      </c>
      <c r="B64" s="5" t="s">
        <v>40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 spans="1:15" ht="18.75" x14ac:dyDescent="0.35">
      <c r="A65" s="1">
        <f t="shared" si="0"/>
        <v>64</v>
      </c>
      <c r="B65" s="5" t="s">
        <v>120</v>
      </c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 spans="1:15" ht="18.75" x14ac:dyDescent="0.35">
      <c r="A66" s="1">
        <f t="shared" si="0"/>
        <v>65</v>
      </c>
      <c r="B66" s="5" t="s">
        <v>91</v>
      </c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 spans="1:15" ht="18.75" x14ac:dyDescent="0.35">
      <c r="A67" s="1">
        <f t="shared" si="0"/>
        <v>66</v>
      </c>
      <c r="B67" s="5" t="s">
        <v>92</v>
      </c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 spans="1:15" ht="18.75" x14ac:dyDescent="0.35">
      <c r="A68" s="1">
        <f t="shared" ref="A68:A111" si="1">A67+1</f>
        <v>67</v>
      </c>
      <c r="B68" s="5" t="s">
        <v>41</v>
      </c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 spans="1:15" ht="18.75" x14ac:dyDescent="0.35">
      <c r="A69" s="1">
        <f t="shared" si="1"/>
        <v>68</v>
      </c>
      <c r="B69" s="5" t="s">
        <v>42</v>
      </c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 spans="1:15" ht="18.75" x14ac:dyDescent="0.35">
      <c r="A70" s="1">
        <f t="shared" si="1"/>
        <v>69</v>
      </c>
      <c r="B70" s="5" t="s">
        <v>43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 spans="1:15" ht="18.75" x14ac:dyDescent="0.35">
      <c r="A71" s="1">
        <f t="shared" si="1"/>
        <v>70</v>
      </c>
      <c r="B71" s="5" t="s">
        <v>44</v>
      </c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 spans="1:15" ht="18.75" x14ac:dyDescent="0.35">
      <c r="A72" s="1">
        <f t="shared" si="1"/>
        <v>71</v>
      </c>
      <c r="B72" s="5" t="s">
        <v>93</v>
      </c>
      <c r="C72" s="9"/>
      <c r="D72" s="9" t="s">
        <v>141</v>
      </c>
      <c r="E72" s="9"/>
      <c r="F72" s="9"/>
      <c r="G72" s="9"/>
      <c r="H72" s="9"/>
      <c r="I72" s="9"/>
      <c r="J72" s="9"/>
      <c r="K72" s="9"/>
      <c r="L72" s="9"/>
      <c r="M72" s="9" t="s">
        <v>141</v>
      </c>
      <c r="N72" s="9"/>
      <c r="O72" s="9"/>
    </row>
    <row r="73" spans="1:15" ht="18.75" x14ac:dyDescent="0.35">
      <c r="A73" s="1">
        <f t="shared" si="1"/>
        <v>72</v>
      </c>
      <c r="B73" s="5" t="s">
        <v>45</v>
      </c>
      <c r="C73" s="9"/>
      <c r="D73" s="9"/>
      <c r="E73" s="9" t="s">
        <v>141</v>
      </c>
      <c r="F73" s="9"/>
      <c r="G73" s="9"/>
      <c r="H73" s="9"/>
      <c r="I73" s="9"/>
      <c r="J73" s="9"/>
      <c r="K73" s="9"/>
      <c r="L73" s="9"/>
      <c r="M73" s="9"/>
      <c r="N73" s="9"/>
      <c r="O73" s="9"/>
    </row>
    <row r="74" spans="1:15" ht="18.75" x14ac:dyDescent="0.35">
      <c r="A74" s="1">
        <f t="shared" si="1"/>
        <v>73</v>
      </c>
      <c r="B74" s="5" t="s">
        <v>46</v>
      </c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 spans="1:15" ht="18.75" x14ac:dyDescent="0.35">
      <c r="A75" s="1">
        <f t="shared" si="1"/>
        <v>74</v>
      </c>
      <c r="B75" s="5" t="s">
        <v>47</v>
      </c>
      <c r="C75" s="9"/>
      <c r="D75" s="9" t="s">
        <v>141</v>
      </c>
      <c r="E75" s="9" t="s">
        <v>141</v>
      </c>
      <c r="F75" s="9"/>
      <c r="G75" s="9"/>
      <c r="H75" s="9"/>
      <c r="I75" s="9"/>
      <c r="J75" s="9"/>
      <c r="K75" s="9"/>
      <c r="L75" s="9"/>
      <c r="M75" s="9"/>
      <c r="N75" s="9"/>
      <c r="O75" s="9"/>
    </row>
    <row r="76" spans="1:15" ht="18.75" x14ac:dyDescent="0.35">
      <c r="A76" s="1">
        <f t="shared" si="1"/>
        <v>75</v>
      </c>
      <c r="B76" s="5" t="s">
        <v>48</v>
      </c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 spans="1:15" ht="18.75" x14ac:dyDescent="0.35">
      <c r="A77" s="1">
        <f t="shared" si="1"/>
        <v>76</v>
      </c>
      <c r="B77" s="5" t="s">
        <v>49</v>
      </c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 spans="1:15" ht="18.75" x14ac:dyDescent="0.35">
      <c r="A78" s="1">
        <f t="shared" si="1"/>
        <v>77</v>
      </c>
      <c r="B78" s="5" t="s">
        <v>50</v>
      </c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 spans="1:15" ht="18.75" x14ac:dyDescent="0.35">
      <c r="A79" s="1">
        <f t="shared" si="1"/>
        <v>78</v>
      </c>
      <c r="B79" s="5" t="s">
        <v>51</v>
      </c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 spans="1:15" ht="18.75" x14ac:dyDescent="0.35">
      <c r="A80" s="1">
        <f t="shared" si="1"/>
        <v>79</v>
      </c>
      <c r="B80" s="5" t="s">
        <v>94</v>
      </c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pans="1:15" ht="18.75" x14ac:dyDescent="0.35">
      <c r="A81" s="1">
        <f t="shared" si="1"/>
        <v>80</v>
      </c>
      <c r="B81" s="5" t="s">
        <v>52</v>
      </c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 spans="1:15" ht="18.75" x14ac:dyDescent="0.35">
      <c r="A82" s="1">
        <f t="shared" si="1"/>
        <v>81</v>
      </c>
      <c r="B82" s="5" t="s">
        <v>53</v>
      </c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 spans="1:15" ht="18.75" x14ac:dyDescent="0.35">
      <c r="A83" s="1">
        <f t="shared" si="1"/>
        <v>82</v>
      </c>
      <c r="B83" s="5" t="s">
        <v>54</v>
      </c>
      <c r="C83" s="9"/>
      <c r="D83" s="9"/>
      <c r="E83" s="9" t="s">
        <v>141</v>
      </c>
      <c r="F83" s="9"/>
      <c r="G83" s="9"/>
      <c r="H83" s="9"/>
      <c r="I83" s="9"/>
      <c r="J83" s="9"/>
      <c r="K83" s="9"/>
      <c r="L83" s="9"/>
      <c r="M83" s="9"/>
      <c r="N83" s="9"/>
      <c r="O83" s="9"/>
    </row>
    <row r="84" spans="1:15" ht="18.75" x14ac:dyDescent="0.35">
      <c r="A84" s="1">
        <f t="shared" si="1"/>
        <v>83</v>
      </c>
      <c r="B84" s="5" t="s">
        <v>55</v>
      </c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 spans="1:15" ht="18.75" x14ac:dyDescent="0.35">
      <c r="A85" s="1">
        <f t="shared" si="1"/>
        <v>84</v>
      </c>
      <c r="B85" s="5" t="s">
        <v>56</v>
      </c>
      <c r="C85" s="9"/>
      <c r="D85" s="9" t="s">
        <v>141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 spans="1:15" ht="18.75" x14ac:dyDescent="0.35">
      <c r="A86" s="1">
        <f t="shared" si="1"/>
        <v>85</v>
      </c>
      <c r="B86" s="5" t="s">
        <v>57</v>
      </c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 spans="1:15" ht="18.75" x14ac:dyDescent="0.35">
      <c r="A87" s="1">
        <f t="shared" si="1"/>
        <v>86</v>
      </c>
      <c r="B87" s="5" t="s">
        <v>58</v>
      </c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ht="18.75" x14ac:dyDescent="0.35">
      <c r="A88" s="1">
        <f t="shared" si="1"/>
        <v>87</v>
      </c>
      <c r="B88" s="5" t="s">
        <v>59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 spans="1:15" ht="18.75" x14ac:dyDescent="0.35">
      <c r="A89" s="1">
        <f t="shared" si="1"/>
        <v>88</v>
      </c>
      <c r="B89" s="5" t="s">
        <v>60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 spans="1:15" ht="18.75" x14ac:dyDescent="0.35">
      <c r="A90" s="1">
        <f t="shared" si="1"/>
        <v>89</v>
      </c>
      <c r="B90" s="5" t="s">
        <v>61</v>
      </c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 spans="1:15" ht="18.75" x14ac:dyDescent="0.35">
      <c r="A91" s="1">
        <f t="shared" si="1"/>
        <v>90</v>
      </c>
      <c r="B91" s="5" t="s">
        <v>62</v>
      </c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 spans="1:15" ht="18.75" x14ac:dyDescent="0.35">
      <c r="A92" s="1">
        <f t="shared" si="1"/>
        <v>91</v>
      </c>
      <c r="B92" s="5" t="s">
        <v>95</v>
      </c>
      <c r="C92" s="9" t="s">
        <v>139</v>
      </c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 spans="1:15" ht="18.75" x14ac:dyDescent="0.35">
      <c r="A93" s="1">
        <f t="shared" si="1"/>
        <v>92</v>
      </c>
      <c r="B93" s="5" t="s">
        <v>63</v>
      </c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 spans="1:15" ht="18.75" x14ac:dyDescent="0.35">
      <c r="A94" s="1">
        <f t="shared" si="1"/>
        <v>93</v>
      </c>
      <c r="B94" s="5" t="s">
        <v>64</v>
      </c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ht="18.75" x14ac:dyDescent="0.35">
      <c r="A95" s="1">
        <f t="shared" si="1"/>
        <v>94</v>
      </c>
      <c r="B95" s="5" t="s">
        <v>65</v>
      </c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 spans="1:15" ht="18.75" x14ac:dyDescent="0.35">
      <c r="A96" s="1">
        <f t="shared" si="1"/>
        <v>95</v>
      </c>
      <c r="B96" s="5" t="s">
        <v>66</v>
      </c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 spans="1:15" ht="18.75" x14ac:dyDescent="0.35">
      <c r="A97" s="1">
        <f t="shared" si="1"/>
        <v>96</v>
      </c>
      <c r="B97" s="5" t="s">
        <v>67</v>
      </c>
      <c r="C97" s="9" t="s">
        <v>139</v>
      </c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 spans="1:15" ht="18.75" x14ac:dyDescent="0.35">
      <c r="A98" s="1">
        <f t="shared" si="1"/>
        <v>97</v>
      </c>
      <c r="B98" s="5" t="s">
        <v>68</v>
      </c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 spans="1:15" ht="18.75" x14ac:dyDescent="0.35">
      <c r="A99" s="1">
        <f t="shared" si="1"/>
        <v>98</v>
      </c>
      <c r="B99" s="5" t="s">
        <v>69</v>
      </c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 spans="1:15" ht="18.75" x14ac:dyDescent="0.35">
      <c r="A100" s="1">
        <f t="shared" si="1"/>
        <v>99</v>
      </c>
      <c r="B100" s="5" t="s">
        <v>70</v>
      </c>
      <c r="C100" s="9"/>
      <c r="D100" s="9"/>
      <c r="E100" s="9" t="s">
        <v>141</v>
      </c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 spans="1:15" ht="18.75" x14ac:dyDescent="0.35">
      <c r="A101" s="1">
        <f t="shared" si="1"/>
        <v>100</v>
      </c>
      <c r="B101" s="5" t="s">
        <v>121</v>
      </c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 spans="1:15" ht="18.75" x14ac:dyDescent="0.35">
      <c r="A102" s="1">
        <f t="shared" si="1"/>
        <v>101</v>
      </c>
      <c r="B102" s="5" t="s">
        <v>71</v>
      </c>
      <c r="C102" s="9" t="s">
        <v>139</v>
      </c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 spans="1:15" ht="18.75" x14ac:dyDescent="0.35">
      <c r="A103" s="1">
        <f t="shared" si="1"/>
        <v>102</v>
      </c>
      <c r="B103" s="5" t="s">
        <v>72</v>
      </c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 spans="1:15" ht="18.75" x14ac:dyDescent="0.35">
      <c r="A104" s="1">
        <f t="shared" si="1"/>
        <v>103</v>
      </c>
      <c r="B104" s="5" t="s">
        <v>73</v>
      </c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 spans="1:15" ht="18.75" x14ac:dyDescent="0.35">
      <c r="A105" s="1">
        <f t="shared" si="1"/>
        <v>104</v>
      </c>
      <c r="B105" s="5" t="s">
        <v>122</v>
      </c>
      <c r="C105" s="9" t="s">
        <v>139</v>
      </c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 spans="1:15" ht="18.75" x14ac:dyDescent="0.35">
      <c r="A106" s="1">
        <f t="shared" si="1"/>
        <v>105</v>
      </c>
      <c r="B106" s="5" t="s">
        <v>74</v>
      </c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 spans="1:15" ht="18.75" x14ac:dyDescent="0.35">
      <c r="A107" s="1">
        <f t="shared" si="1"/>
        <v>106</v>
      </c>
      <c r="B107" s="5" t="s">
        <v>75</v>
      </c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 spans="1:15" ht="18.75" x14ac:dyDescent="0.35">
      <c r="A108" s="1">
        <f t="shared" si="1"/>
        <v>107</v>
      </c>
      <c r="B108" s="5" t="s">
        <v>76</v>
      </c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 spans="1:15" ht="18.75" x14ac:dyDescent="0.35">
      <c r="A109" s="1">
        <f t="shared" si="1"/>
        <v>108</v>
      </c>
      <c r="B109" s="5" t="s">
        <v>77</v>
      </c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 spans="1:15" ht="18.75" x14ac:dyDescent="0.35">
      <c r="A110" s="1">
        <f t="shared" si="1"/>
        <v>109</v>
      </c>
      <c r="B110" s="5" t="s">
        <v>78</v>
      </c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 spans="1:15" ht="18.75" x14ac:dyDescent="0.35">
      <c r="A111" s="1">
        <f t="shared" si="1"/>
        <v>110</v>
      </c>
      <c r="B111" s="5" t="s">
        <v>96</v>
      </c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 spans="1:15" ht="18.75" x14ac:dyDescent="0.35">
      <c r="B112" s="7" t="s">
        <v>140</v>
      </c>
      <c r="C112" s="11">
        <f>COUNTA(C2:C111)</f>
        <v>20</v>
      </c>
      <c r="D112" s="11">
        <f t="shared" ref="D112:O112" si="2">COUNTA(D2:D111)</f>
        <v>12</v>
      </c>
      <c r="E112" s="11">
        <f t="shared" si="2"/>
        <v>12</v>
      </c>
      <c r="F112" s="11">
        <f t="shared" si="2"/>
        <v>0</v>
      </c>
      <c r="G112" s="11">
        <f t="shared" si="2"/>
        <v>0</v>
      </c>
      <c r="H112" s="11">
        <f t="shared" si="2"/>
        <v>0</v>
      </c>
      <c r="I112" s="11">
        <f t="shared" si="2"/>
        <v>0</v>
      </c>
      <c r="J112" s="11">
        <f t="shared" si="2"/>
        <v>0</v>
      </c>
      <c r="K112" s="11">
        <f t="shared" si="2"/>
        <v>0</v>
      </c>
      <c r="L112" s="11">
        <f t="shared" si="2"/>
        <v>0</v>
      </c>
      <c r="M112" s="11">
        <f t="shared" si="2"/>
        <v>5</v>
      </c>
      <c r="N112" s="11">
        <f t="shared" si="2"/>
        <v>0</v>
      </c>
      <c r="O112" s="11">
        <f t="shared" si="2"/>
        <v>0</v>
      </c>
    </row>
  </sheetData>
  <autoFilter ref="A1:O1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0BD36-E0CC-462D-AB1F-8616E9ACF8A4}">
  <dimension ref="A1:E13"/>
  <sheetViews>
    <sheetView tabSelected="1" topLeftCell="C1" workbookViewId="0">
      <selection activeCell="E2" sqref="E2:E13"/>
    </sheetView>
  </sheetViews>
  <sheetFormatPr defaultRowHeight="15" x14ac:dyDescent="0.25"/>
  <cols>
    <col min="2" max="2" width="54.28515625" bestFit="1" customWidth="1"/>
    <col min="3" max="3" width="111.7109375" bestFit="1" customWidth="1"/>
    <col min="4" max="4" width="9.7109375" bestFit="1" customWidth="1"/>
    <col min="5" max="5" width="121.42578125" bestFit="1" customWidth="1"/>
  </cols>
  <sheetData>
    <row r="1" spans="1:5" ht="18.75" x14ac:dyDescent="0.35">
      <c r="A1" s="3" t="s">
        <v>0</v>
      </c>
      <c r="B1" s="3" t="s">
        <v>99</v>
      </c>
      <c r="C1" s="3" t="s">
        <v>97</v>
      </c>
      <c r="D1" s="12" t="s">
        <v>143</v>
      </c>
      <c r="E1" s="12" t="s">
        <v>142</v>
      </c>
    </row>
    <row r="2" spans="1:5" ht="18.75" x14ac:dyDescent="0.35">
      <c r="A2" s="1">
        <v>1</v>
      </c>
      <c r="B2" s="1" t="s">
        <v>133</v>
      </c>
      <c r="C2" s="1" t="s">
        <v>105</v>
      </c>
      <c r="D2" s="13">
        <v>1</v>
      </c>
      <c r="E2" t="str">
        <f>$E$1&amp;"["&amp;B2&amp;"]("&amp;C2&amp;")  "</f>
        <v xml:space="preserve">[ ] [Iniciantes](https://www.eia.ai/carreira-iniciantes)  </v>
      </c>
    </row>
    <row r="3" spans="1:5" ht="18.75" x14ac:dyDescent="0.35">
      <c r="A3" s="1">
        <f>A2+1</f>
        <v>2</v>
      </c>
      <c r="B3" s="1" t="s">
        <v>129</v>
      </c>
      <c r="C3" s="1" t="s">
        <v>98</v>
      </c>
      <c r="D3" s="13">
        <v>2</v>
      </c>
      <c r="E3" t="str">
        <f t="shared" ref="E3:E13" si="0">$E$1&amp;"["&amp;B3&amp;"]("&amp;C3&amp;")  "</f>
        <v xml:space="preserve">[ ] [Engenharia de Dados](https://www.eia.ai/carreira-engenharia-de-dados)  </v>
      </c>
    </row>
    <row r="4" spans="1:5" ht="18.75" x14ac:dyDescent="0.35">
      <c r="A4" s="1">
        <f t="shared" ref="A4:A13" si="1">A3+1</f>
        <v>3</v>
      </c>
      <c r="B4" s="1" t="s">
        <v>126</v>
      </c>
      <c r="C4" s="1" t="s">
        <v>106</v>
      </c>
      <c r="D4" s="13">
        <v>3</v>
      </c>
      <c r="E4" t="str">
        <f t="shared" si="0"/>
        <v xml:space="preserve">[ ] [Ciência de Dados](https://www.eia.ai/carreira-ciencia-de-dados)  </v>
      </c>
    </row>
    <row r="5" spans="1:5" ht="18.75" x14ac:dyDescent="0.35">
      <c r="A5" s="1">
        <f t="shared" si="1"/>
        <v>4</v>
      </c>
      <c r="B5" s="1" t="s">
        <v>128</v>
      </c>
      <c r="C5" s="1" t="s">
        <v>100</v>
      </c>
      <c r="D5" s="13">
        <v>4</v>
      </c>
      <c r="E5" t="str">
        <f t="shared" si="0"/>
        <v xml:space="preserve">[ ] [Inteligência Artificial](https://www.eia.ai/carreira-inteligencia-artificial)  </v>
      </c>
    </row>
    <row r="6" spans="1:5" ht="18.75" x14ac:dyDescent="0.35">
      <c r="A6" s="1">
        <f t="shared" si="1"/>
        <v>5</v>
      </c>
      <c r="B6" s="1" t="s">
        <v>130</v>
      </c>
      <c r="C6" s="1" t="s">
        <v>102</v>
      </c>
      <c r="D6" s="13">
        <v>5</v>
      </c>
      <c r="E6" t="str">
        <f t="shared" si="0"/>
        <v xml:space="preserve">[ ] [Analista de Dados e BI](https://www.eia.ai/carreira-analista-de-business-intelligence)  </v>
      </c>
    </row>
    <row r="7" spans="1:5" ht="18.75" x14ac:dyDescent="0.35">
      <c r="A7" s="1">
        <f t="shared" si="1"/>
        <v>6</v>
      </c>
      <c r="B7" s="1" t="s">
        <v>134</v>
      </c>
      <c r="C7" s="1" t="s">
        <v>135</v>
      </c>
      <c r="D7" s="13">
        <v>6</v>
      </c>
      <c r="E7" t="str">
        <f t="shared" si="0"/>
        <v xml:space="preserve">[ ] [Automação e Aplicações Low-code / No-code](https://www.eia.ai/carreira-automacao-e-aplicacoes-low-code-no-code)  </v>
      </c>
    </row>
    <row r="8" spans="1:5" ht="18.75" x14ac:dyDescent="0.35">
      <c r="A8" s="1">
        <f t="shared" si="1"/>
        <v>7</v>
      </c>
      <c r="B8" s="1" t="s">
        <v>127</v>
      </c>
      <c r="C8" s="1" t="s">
        <v>101</v>
      </c>
      <c r="D8" s="13">
        <v>7</v>
      </c>
      <c r="E8" t="str">
        <f t="shared" si="0"/>
        <v xml:space="preserve">[ ] [Engenheiro de Machine Learning](https://www.eia.ai/carreira-engenheiro-de-machine-learning)  </v>
      </c>
    </row>
    <row r="9" spans="1:5" ht="18.75" x14ac:dyDescent="0.35">
      <c r="A9" s="1">
        <f t="shared" si="1"/>
        <v>8</v>
      </c>
      <c r="B9" s="1" t="s">
        <v>124</v>
      </c>
      <c r="C9" s="1" t="s">
        <v>123</v>
      </c>
      <c r="D9" s="13">
        <v>8</v>
      </c>
      <c r="E9" t="str">
        <f t="shared" si="0"/>
        <v xml:space="preserve">[ ] [AI Engineer](https://www.eia.ai/carreira-ai-engineer)  </v>
      </c>
    </row>
    <row r="10" spans="1:5" ht="18.75" x14ac:dyDescent="0.35">
      <c r="A10" s="1">
        <f t="shared" si="1"/>
        <v>9</v>
      </c>
      <c r="B10" s="1" t="s">
        <v>132</v>
      </c>
      <c r="C10" s="1" t="s">
        <v>104</v>
      </c>
      <c r="D10" s="13">
        <v>9</v>
      </c>
      <c r="E10" t="str">
        <f t="shared" si="0"/>
        <v xml:space="preserve">[ ] [Analytics Engineer](https://www.eia.ai/carreira-analytics-engineer)  </v>
      </c>
    </row>
    <row r="11" spans="1:5" ht="18.75" x14ac:dyDescent="0.35">
      <c r="A11" s="1">
        <f t="shared" si="1"/>
        <v>10</v>
      </c>
      <c r="B11" s="1" t="s">
        <v>131</v>
      </c>
      <c r="C11" s="1" t="s">
        <v>103</v>
      </c>
      <c r="D11" s="13">
        <v>10</v>
      </c>
      <c r="E11" t="str">
        <f t="shared" si="0"/>
        <v xml:space="preserve">[ ] [Agentes, IA Generativa e LLMs](https://www.eia.ai/carreira-inteligencia-artificial-generativa-e-grandes-modelos-de-linguagem)  </v>
      </c>
    </row>
    <row r="12" spans="1:5" ht="18.75" x14ac:dyDescent="0.35">
      <c r="A12" s="1">
        <f t="shared" si="1"/>
        <v>11</v>
      </c>
      <c r="B12" s="1" t="s">
        <v>136</v>
      </c>
      <c r="C12" s="1" t="s">
        <v>137</v>
      </c>
      <c r="D12" s="13">
        <v>11</v>
      </c>
      <c r="E12" t="str">
        <f t="shared" si="0"/>
        <v xml:space="preserve">[ ] [Engenharia de Software com IA](https://www.eia.ai/trilha-engenharia-de-software-com-ia)  </v>
      </c>
    </row>
    <row r="13" spans="1:5" ht="18.75" x14ac:dyDescent="0.35">
      <c r="A13" s="1">
        <f t="shared" si="1"/>
        <v>12</v>
      </c>
      <c r="B13" s="1" t="s">
        <v>125</v>
      </c>
      <c r="C13" s="1" t="s">
        <v>107</v>
      </c>
      <c r="D13" s="13">
        <v>12</v>
      </c>
      <c r="E13" t="str">
        <f t="shared" si="0"/>
        <v xml:space="preserve">[ ] [IA para Profissionais e Negócios](https://www.eia.ai/carreira-ai-para-negocios)  </v>
      </c>
    </row>
  </sheetData>
  <sortState xmlns:xlrd2="http://schemas.microsoft.com/office/spreadsheetml/2017/richdata2" ref="B2:D13">
    <sortCondition ref="D2:D13"/>
  </sortState>
  <hyperlinks>
    <hyperlink ref="C6" r:id="rId1" xr:uid="{841A3466-CEC9-40D7-BFCE-3500FAE3A3BF}"/>
    <hyperlink ref="C11" r:id="rId2" xr:uid="{F1FBC57C-0CF4-45B9-B31B-C357FB1D599E}"/>
    <hyperlink ref="C10" r:id="rId3" xr:uid="{8A0012D6-45AF-439D-82FF-F9AAAA06B1DA}"/>
    <hyperlink ref="C2" r:id="rId4" xr:uid="{DE7DDC54-F44C-4277-AE26-55743C498379}"/>
    <hyperlink ref="C7" r:id="rId5" xr:uid="{50C401E8-CBB7-4049-A845-2632987913E9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</vt:lpstr>
      <vt:lpstr>Carreiras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Junior</dc:creator>
  <cp:lastModifiedBy>Edy Epumuceno Rodrigues Junior</cp:lastModifiedBy>
  <dcterms:created xsi:type="dcterms:W3CDTF">2025-03-31T19:34:02Z</dcterms:created>
  <dcterms:modified xsi:type="dcterms:W3CDTF">2026-10-23T18:03:57Z</dcterms:modified>
</cp:coreProperties>
</file>